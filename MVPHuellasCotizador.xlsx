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Config" sheetId="1" r:id="rId5"/>
    <sheet state="visible" name="IN_Cotizacion" sheetId="2" r:id="rId6"/>
  </sheets>
  <definedNames/>
  <calcPr/>
</workbook>
</file>

<file path=xl/sharedStrings.xml><?xml version="1.0" encoding="utf-8"?>
<sst xmlns="http://schemas.openxmlformats.org/spreadsheetml/2006/main" count="117" uniqueCount="105">
  <si>
    <t>ID_Mat</t>
  </si>
  <si>
    <t>Nombre Papel</t>
  </si>
  <si>
    <t>Costo Pliego</t>
  </si>
  <si>
    <t>ID_Mq</t>
  </si>
  <si>
    <t>Nombre Maquina</t>
  </si>
  <si>
    <t>Tecnología</t>
  </si>
  <si>
    <t>$ Arreglo</t>
  </si>
  <si>
    <t>$ Variable</t>
  </si>
  <si>
    <t>Columna 9</t>
  </si>
  <si>
    <t>Columna 10</t>
  </si>
  <si>
    <t>ID_Ter</t>
  </si>
  <si>
    <t>Nombre Proceso</t>
  </si>
  <si>
    <t>Tipo</t>
  </si>
  <si>
    <t>$ Arreglo 2</t>
  </si>
  <si>
    <t>$ Variable 2</t>
  </si>
  <si>
    <t>P-01</t>
  </si>
  <si>
    <t>Propalcote 150g</t>
  </si>
  <si>
    <t>MQ-01</t>
  </si>
  <si>
    <t>Heidelberg Speedmaster</t>
  </si>
  <si>
    <t>Offset</t>
  </si>
  <si>
    <t>T-01</t>
  </si>
  <si>
    <t>Troquelado (ZDM)</t>
  </si>
  <si>
    <t>Millar</t>
  </si>
  <si>
    <t>P-02</t>
  </si>
  <si>
    <t>Propalcote 300g</t>
  </si>
  <si>
    <t>MQ-02</t>
  </si>
  <si>
    <t>Heidelberg GTO</t>
  </si>
  <si>
    <t>T-02</t>
  </si>
  <si>
    <t>Plastificado Mate</t>
  </si>
  <si>
    <t>Pliego</t>
  </si>
  <si>
    <t>P-03</t>
  </si>
  <si>
    <t>Bond 75g</t>
  </si>
  <si>
    <t>MQ-03</t>
  </si>
  <si>
    <t>Ricoh Pro C7100x</t>
  </si>
  <si>
    <t>Digital</t>
  </si>
  <si>
    <t>T-03</t>
  </si>
  <si>
    <t>Plegado Auto</t>
  </si>
  <si>
    <t>P-04</t>
  </si>
  <si>
    <t>Adhesivo</t>
  </si>
  <si>
    <t>MQ-04</t>
  </si>
  <si>
    <t>Plotter Stormjet</t>
  </si>
  <si>
    <t>Gran Formato</t>
  </si>
  <si>
    <t>T-04</t>
  </si>
  <si>
    <t>Refile / Corte</t>
  </si>
  <si>
    <t>Global</t>
  </si>
  <si>
    <t>P-05</t>
  </si>
  <si>
    <t>Maule C18</t>
  </si>
  <si>
    <t>MQ-05</t>
  </si>
  <si>
    <t>UV DTF</t>
  </si>
  <si>
    <t>T-05</t>
  </si>
  <si>
    <t>Pegue a Mano</t>
  </si>
  <si>
    <t>Unidad</t>
  </si>
  <si>
    <t>T-06</t>
  </si>
  <si>
    <t>Diseño / Arte</t>
  </si>
  <si>
    <t>F</t>
  </si>
  <si>
    <t>No. Cotización</t>
  </si>
  <si>
    <t>Columna 1</t>
  </si>
  <si>
    <t>Fecha</t>
  </si>
  <si>
    <t>Cliente</t>
  </si>
  <si>
    <t>Producto</t>
  </si>
  <si>
    <t>Cantidad Deseada</t>
  </si>
  <si>
    <t>Papel Seleccionado</t>
  </si>
  <si>
    <t>Costo Papel Unit</t>
  </si>
  <si>
    <t>Cabida (x Pliego)</t>
  </si>
  <si>
    <t>Pliegos Requeridos</t>
  </si>
  <si>
    <t>% Merma</t>
  </si>
  <si>
    <t>Total a Comprar</t>
  </si>
  <si>
    <t>SUBTOTAL PAPEL</t>
  </si>
  <si>
    <t>MEDIDAS PROD</t>
  </si>
  <si>
    <t>MEDIDAS PAPEL</t>
  </si>
  <si>
    <t>CABIDA</t>
  </si>
  <si>
    <t>PAPEL TOTAL</t>
  </si>
  <si>
    <t>Manual</t>
  </si>
  <si>
    <t>FINAL</t>
  </si>
  <si>
    <t>Alto (cm)</t>
  </si>
  <si>
    <t>Ancho (cm)</t>
  </si>
  <si>
    <t>PAPEL:</t>
  </si>
  <si>
    <t>Costo Unit:</t>
  </si>
  <si>
    <t>$ 400</t>
  </si>
  <si>
    <t>Total Pliegos:</t>
  </si>
  <si>
    <t>Máquina</t>
  </si>
  <si>
    <t>Tarifa Arreglo</t>
  </si>
  <si>
    <t>Tarifa Variable</t>
  </si>
  <si>
    <t>Tintas / Cambios</t>
  </si>
  <si>
    <t>SUBTOTAL IMPRESIÓN</t>
  </si>
  <si>
    <t xml:space="preserve"> </t>
  </si>
  <si>
    <t>Proceso</t>
  </si>
  <si>
    <t>Detalle</t>
  </si>
  <si>
    <t>Cantidad Base</t>
  </si>
  <si>
    <t>Costo Calc.</t>
  </si>
  <si>
    <t>Totales</t>
  </si>
  <si>
    <t>Valor</t>
  </si>
  <si>
    <t>Costo Con Margen de Ganacia</t>
  </si>
  <si>
    <t>Total Materiales</t>
  </si>
  <si>
    <t>Total Impresión</t>
  </si>
  <si>
    <t>Total Terminados</t>
  </si>
  <si>
    <t>Costo total sin Margen de Ganancia</t>
  </si>
  <si>
    <t>Margen (%)</t>
  </si>
  <si>
    <t>Precio Venta</t>
  </si>
  <si>
    <t>Precio Unitario</t>
  </si>
  <si>
    <t>IVA</t>
  </si>
  <si>
    <t>Precio Total + IVA</t>
  </si>
  <si>
    <t>Trabajos Digitales / Rápidos: Usa márgenes altos (40% - 60%) porque son montos pequeños.</t>
  </si>
  <si>
    <t>Trabajos Offset / Volumen: Usa márgenes medios (25% - 35%) para ser competitivo.</t>
  </si>
  <si>
    <t>Revendedores: Usa márgenes bajos (15% - 20%) porque te traen volumen constante.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</si>
</sst>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sz val="11.0"/>
      <color theme="1"/>
      <name val="Arial"/>
    </font>
    <font>
      <sz val="11.0"/>
      <color rgb="FF1F1F1F"/>
      <name val="Arial"/>
    </font>
    <font>
      <sz val="11.0"/>
      <color rgb="FF444746"/>
      <name val="Arial"/>
    </font>
    <font>
      <b/>
      <sz val="11.0"/>
      <color theme="1"/>
      <name val="Arial"/>
    </font>
    <font>
      <b/>
      <sz val="11.0"/>
      <color rgb="FF1F1F1F"/>
      <name val="Arial"/>
    </font>
    <font>
      <i/>
      <sz val="11.0"/>
      <color rgb="FF1F1F1F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wrapText="1"/>
    </xf>
    <xf borderId="1" fillId="2" fontId="6" numFmtId="0" xfId="0" applyAlignment="1" applyBorder="1" applyFill="1" applyFont="1">
      <alignment readingOrder="0" shrinkToFit="0" vertical="center" wrapText="1"/>
    </xf>
    <xf borderId="1" fillId="3" fontId="7" numFmtId="14" xfId="0" applyAlignment="1" applyBorder="1" applyFill="1" applyFont="1" applyNumberFormat="1">
      <alignment shrinkToFit="0" vertical="center" wrapText="1"/>
    </xf>
    <xf borderId="1" fillId="2" fontId="6" numFmtId="0" xfId="0" applyAlignment="1" applyBorder="1" applyFont="1">
      <alignment shrinkToFit="0" vertical="center" wrapText="1"/>
    </xf>
    <xf borderId="0" fillId="2" fontId="6" numFmtId="0" xfId="0" applyAlignment="1" applyFont="1">
      <alignment shrinkToFit="0" wrapText="1"/>
    </xf>
    <xf borderId="2" fillId="4" fontId="6" numFmtId="0" xfId="0" applyAlignment="1" applyBorder="1" applyFill="1" applyFont="1">
      <alignment readingOrder="0" shrinkToFit="0" vertical="center" wrapText="1"/>
    </xf>
    <xf borderId="0" fillId="3" fontId="7" numFmtId="164" xfId="0" applyAlignment="1" applyFont="1" applyNumberForma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0" fontId="5" numFmtId="10" xfId="0" applyAlignment="1" applyFont="1" applyNumberForma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shrinkToFit="0" vertical="center" wrapText="1"/>
    </xf>
    <xf borderId="0" fillId="2" fontId="6" numFmtId="0" xfId="0" applyAlignment="1" applyFont="1">
      <alignment readingOrder="0" shrinkToFit="0" wrapText="1"/>
    </xf>
    <xf borderId="1" fillId="0" fontId="5" numFmtId="0" xfId="0" applyAlignment="1" applyBorder="1" applyFont="1">
      <alignment shrinkToFit="0" vertical="center" wrapText="1"/>
    </xf>
    <xf borderId="0" fillId="0" fontId="11" numFmtId="0" xfId="0" applyFont="1"/>
    <xf borderId="0" fillId="0" fontId="5" numFmtId="0" xfId="0" applyAlignment="1" applyFont="1">
      <alignment readingOrder="0" shrinkToFit="0" wrapText="1"/>
    </xf>
    <xf borderId="1" fillId="3" fontId="7" numFmtId="164" xfId="0" applyAlignment="1" applyBorder="1" applyFont="1" applyNumberFormat="1">
      <alignment shrinkToFit="0" vertical="center" wrapText="1"/>
    </xf>
    <xf borderId="3" fillId="0" fontId="5" numFmtId="164" xfId="0" applyAlignment="1" applyBorder="1" applyFont="1" applyNumberFormat="1">
      <alignment shrinkToFit="0" vertical="center" wrapText="1"/>
    </xf>
    <xf borderId="1" fillId="2" fontId="6" numFmtId="164" xfId="0" applyAlignment="1" applyBorder="1" applyFont="1" applyNumberForma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1"/>
    </xf>
    <xf borderId="5" fillId="0" fontId="5" numFmtId="164" xfId="0" applyAlignment="1" applyBorder="1" applyFont="1" applyNumberFormat="1">
      <alignment shrinkToFit="0" vertical="center" wrapText="1"/>
    </xf>
    <xf borderId="5" fillId="3" fontId="7" numFmtId="164" xfId="0" applyAlignment="1" applyBorder="1" applyFont="1" applyNumberFormat="1">
      <alignment shrinkToFit="0" vertical="center" wrapText="1"/>
    </xf>
    <xf borderId="5" fillId="0" fontId="5" numFmtId="164" xfId="0" applyAlignment="1" applyBorder="1" applyFont="1" applyNumberForma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5" fillId="3" fontId="7" numFmtId="164" xfId="0" applyAlignment="1" applyBorder="1" applyFont="1" applyNumberForma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BD_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_Cotizacion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7" displayName="Tabla_7" name="Tabla_7" id="1">
  <tableColumns count="15">
    <tableColumn name="ID_Mat" id="1"/>
    <tableColumn name="Nombre Papel" id="2"/>
    <tableColumn name="Costo Pliego" id="3"/>
    <tableColumn name="ID_Mq" id="4"/>
    <tableColumn name="Nombre Maquina" id="5"/>
    <tableColumn name="Tecnología" id="6"/>
    <tableColumn name="$ Arreglo" id="7"/>
    <tableColumn name="$ Variable" id="8"/>
    <tableColumn name="Columna 9" id="9"/>
    <tableColumn name="Columna 10" id="10"/>
    <tableColumn name="ID_Ter" id="11"/>
    <tableColumn name="Nombre Proceso" id="12"/>
    <tableColumn name="Tipo" id="13"/>
    <tableColumn name="$ Arreglo 2" id="14"/>
    <tableColumn name="$ Variable 2" id="15"/>
  </tableColumns>
  <tableStyleInfo name="BD_Config-style" showColumnStripes="0" showFirstColumn="1" showLastColumn="1" showRowStripes="1"/>
</table>
</file>

<file path=xl/tables/table2.xml><?xml version="1.0" encoding="utf-8"?>
<table xmlns="http://schemas.openxmlformats.org/spreadsheetml/2006/main" ref="A1:B5" displayName="Datos_Clientes" name="Datos_Clientes" id="2">
  <tableColumns count="2">
    <tableColumn name="No. Cotización" id="1"/>
    <tableColumn name="Columna 1" id="2"/>
  </tableColumns>
  <tableStyleInfo name="IN_Cotizacion-style" showColumnStripes="0" showFirstColumn="1" showLastColumn="1" showRowStripes="1"/>
</table>
</file>

<file path=xl/tables/table3.xml><?xml version="1.0" encoding="utf-8"?>
<table xmlns="http://schemas.openxmlformats.org/spreadsheetml/2006/main" ref="A8:G9" displayName="Papel" name="Papel" id="3">
  <tableColumns count="7">
    <tableColumn name="Papel Seleccionado" id="1"/>
    <tableColumn name="Costo Papel Unit" id="2"/>
    <tableColumn name="Cabida (x Pliego)" id="3"/>
    <tableColumn name="Pliegos Requeridos" id="4"/>
    <tableColumn name="% Merma" id="5"/>
    <tableColumn name="Total a Comprar" id="6"/>
    <tableColumn name="SUBTOTAL PAPEL" id="7"/>
  </tableColumns>
  <tableStyleInfo name="IN_Cotizacion-style 2" showColumnStripes="0" showFirstColumn="1" showLastColumn="1" showRowStripes="1"/>
</table>
</file>

<file path=xl/tables/table4.xml><?xml version="1.0" encoding="utf-8"?>
<table xmlns="http://schemas.openxmlformats.org/spreadsheetml/2006/main" ref="A11:F15" displayName="Calculadora_de_Papel" name="Calculadora_de_Papel" id="4">
  <tableColumns count="6">
    <tableColumn name="MEDIDAS PROD" id="1"/>
    <tableColumn name="MEDIDAS PAPEL" id="2"/>
    <tableColumn name="CABIDA" id="3"/>
    <tableColumn name="PAPEL TOTAL" id="4"/>
    <tableColumn name="Manual" id="5"/>
    <tableColumn name="FINAL" id="6"/>
  </tableColumns>
  <tableStyleInfo name="IN_Cotizacion-style 3" showColumnStripes="0" showFirstColumn="1" showLastColumn="1" showRowStripes="1"/>
</table>
</file>

<file path=xl/tables/table5.xml><?xml version="1.0" encoding="utf-8"?>
<table xmlns="http://schemas.openxmlformats.org/spreadsheetml/2006/main" ref="A18:F19" displayName="Seleccionar_máquina" name="Seleccionar_máquina" id="5">
  <tableColumns count="6">
    <tableColumn name="Máquina" id="1"/>
    <tableColumn name="Tecnología" id="2"/>
    <tableColumn name="Tarifa Arreglo" id="3"/>
    <tableColumn name="Tarifa Variable" id="4"/>
    <tableColumn name="Tintas / Cambios" id="5"/>
    <tableColumn name="SUBTOTAL IMPRESIÓN" id="6"/>
  </tableColumns>
  <tableStyleInfo name="IN_Cotizacion-style 4" showColumnStripes="0" showFirstColumn="1" showLastColumn="1" showRowStripes="1"/>
</table>
</file>

<file path=xl/tables/table6.xml><?xml version="1.0" encoding="utf-8"?>
<table xmlns="http://schemas.openxmlformats.org/spreadsheetml/2006/main" ref="A22:D31" displayName="Proceso_Costo" name="Proceso_Costo" id="6">
  <tableColumns count="4">
    <tableColumn name="Proceso" id="1"/>
    <tableColumn name="Detalle" id="2"/>
    <tableColumn name="Cantidad Base" id="3"/>
    <tableColumn name="Costo Calc." id="4"/>
  </tableColumns>
  <tableStyleInfo name="IN_Cotizacion-style 5" showColumnStripes="0" showFirstColumn="1" showLastColumn="1" showRowStripes="1"/>
</table>
</file>

<file path=xl/tables/table7.xml><?xml version="1.0" encoding="utf-8"?>
<table xmlns="http://schemas.openxmlformats.org/spreadsheetml/2006/main" ref="A33:C42" displayName="Calculos_Totales" name="Calculos_Totales" id="7">
  <tableColumns count="3">
    <tableColumn name="Totales" id="1"/>
    <tableColumn name="Valor" id="2"/>
    <tableColumn name="Costo Con Margen de Ganacia" id="3"/>
  </tableColumns>
  <tableStyleInfo name="IN_Cotizacion-style 6" showColumnStripes="0" showFirstColumn="1" showLastColumn="1" showRowStripes="1"/>
</table>
</file>

<file path=xl/tables/table8.xml><?xml version="1.0" encoding="utf-8"?>
<table xmlns="http://schemas.openxmlformats.org/spreadsheetml/2006/main" ref="A45:A47" displayName="Tabla_5" name="Tabla_5" id="8">
  <tableColumns count="1">
    <tableColumn name="Trabajos Digitales / Rápidos: Usa márgenes altos (40% - 60%) porque son montos pequeños." id="1"/>
  </tableColumns>
  <tableStyleInfo name="IN_Cotizacion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3" width="19.5"/>
    <col customWidth="1" min="4" max="4" width="12.5"/>
    <col customWidth="1" min="5" max="5" width="23.25"/>
    <col customWidth="1" min="6" max="6" width="17.5"/>
    <col customWidth="1" min="7" max="7" width="16.5"/>
    <col customWidth="1" min="8" max="8" width="17.5"/>
    <col customWidth="1" min="9" max="10" width="13.5"/>
    <col customWidth="1" min="12" max="12" width="18.88"/>
    <col customWidth="1" min="14" max="14" width="13.0"/>
    <col customWidth="1" min="15" max="15" width="13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2.5" customHeight="1">
      <c r="A2" s="5" t="s">
        <v>15</v>
      </c>
      <c r="B2" s="6" t="s">
        <v>16</v>
      </c>
      <c r="C2" s="7">
        <v>400.0</v>
      </c>
      <c r="D2" s="5" t="s">
        <v>17</v>
      </c>
      <c r="E2" s="5" t="s">
        <v>18</v>
      </c>
      <c r="F2" s="5" t="s">
        <v>19</v>
      </c>
      <c r="G2" s="7">
        <v>180000.0</v>
      </c>
      <c r="H2" s="7">
        <v>45000.0</v>
      </c>
      <c r="K2" s="8" t="s">
        <v>20</v>
      </c>
      <c r="L2" s="8" t="s">
        <v>21</v>
      </c>
      <c r="M2" s="8" t="s">
        <v>22</v>
      </c>
      <c r="N2" s="8">
        <v>50000.0</v>
      </c>
      <c r="O2" s="8">
        <v>25000.0</v>
      </c>
    </row>
    <row r="3" ht="22.5" customHeight="1">
      <c r="A3" s="5" t="s">
        <v>23</v>
      </c>
      <c r="B3" s="6" t="s">
        <v>24</v>
      </c>
      <c r="C3" s="7">
        <v>800.0</v>
      </c>
      <c r="D3" s="5" t="s">
        <v>25</v>
      </c>
      <c r="E3" s="5" t="s">
        <v>26</v>
      </c>
      <c r="F3" s="5" t="s">
        <v>19</v>
      </c>
      <c r="G3" s="7">
        <v>80000.0</v>
      </c>
      <c r="H3" s="7">
        <v>30000.0</v>
      </c>
      <c r="K3" s="8" t="s">
        <v>27</v>
      </c>
      <c r="L3" s="8" t="s">
        <v>28</v>
      </c>
      <c r="M3" s="8" t="s">
        <v>29</v>
      </c>
      <c r="N3" s="8">
        <v>0.0</v>
      </c>
      <c r="O3" s="8">
        <v>450.0</v>
      </c>
    </row>
    <row r="4" ht="22.5" customHeight="1">
      <c r="A4" s="5" t="s">
        <v>30</v>
      </c>
      <c r="B4" s="6" t="s">
        <v>31</v>
      </c>
      <c r="C4" s="7">
        <v>120.0</v>
      </c>
      <c r="D4" s="5" t="s">
        <v>32</v>
      </c>
      <c r="E4" s="5" t="s">
        <v>33</v>
      </c>
      <c r="F4" s="5" t="s">
        <v>34</v>
      </c>
      <c r="G4" s="7">
        <v>0.0</v>
      </c>
      <c r="H4" s="7">
        <v>600.0</v>
      </c>
      <c r="K4" s="8" t="s">
        <v>35</v>
      </c>
      <c r="L4" s="8" t="s">
        <v>36</v>
      </c>
      <c r="M4" s="8" t="s">
        <v>22</v>
      </c>
      <c r="N4" s="8">
        <v>30000.0</v>
      </c>
      <c r="O4" s="8">
        <v>10000.0</v>
      </c>
    </row>
    <row r="5" ht="22.5" customHeight="1">
      <c r="A5" s="5" t="s">
        <v>37</v>
      </c>
      <c r="B5" s="6" t="s">
        <v>38</v>
      </c>
      <c r="C5" s="7">
        <v>2500.0</v>
      </c>
      <c r="D5" s="5" t="s">
        <v>39</v>
      </c>
      <c r="E5" s="5" t="s">
        <v>40</v>
      </c>
      <c r="F5" s="5" t="s">
        <v>41</v>
      </c>
      <c r="G5" s="7">
        <v>0.0</v>
      </c>
      <c r="H5" s="7">
        <v>25000.0</v>
      </c>
      <c r="K5" s="8" t="s">
        <v>42</v>
      </c>
      <c r="L5" s="8" t="s">
        <v>43</v>
      </c>
      <c r="M5" s="8" t="s">
        <v>44</v>
      </c>
      <c r="N5" s="8">
        <v>15000.0</v>
      </c>
      <c r="O5" s="8">
        <v>0.0</v>
      </c>
    </row>
    <row r="6" ht="22.5" customHeight="1">
      <c r="A6" s="5" t="s">
        <v>45</v>
      </c>
      <c r="B6" s="6" t="s">
        <v>46</v>
      </c>
      <c r="C6" s="7">
        <v>1800.0</v>
      </c>
      <c r="D6" s="5" t="s">
        <v>47</v>
      </c>
      <c r="E6" s="5" t="s">
        <v>48</v>
      </c>
      <c r="F6" s="5" t="s">
        <v>41</v>
      </c>
      <c r="G6" s="7">
        <v>0.0</v>
      </c>
      <c r="H6" s="7">
        <v>55000.0</v>
      </c>
      <c r="K6" s="8" t="s">
        <v>49</v>
      </c>
      <c r="L6" s="8" t="s">
        <v>50</v>
      </c>
      <c r="M6" s="8" t="s">
        <v>51</v>
      </c>
      <c r="N6" s="8">
        <v>0.0</v>
      </c>
      <c r="O6" s="8">
        <v>80.0</v>
      </c>
    </row>
    <row r="7" ht="22.5" customHeight="1">
      <c r="K7" s="8" t="s">
        <v>52</v>
      </c>
      <c r="L7" s="8" t="s">
        <v>53</v>
      </c>
      <c r="M7" s="8" t="s">
        <v>44</v>
      </c>
      <c r="N7" s="8">
        <v>50000.0</v>
      </c>
      <c r="O7" s="8">
        <v>0.0</v>
      </c>
    </row>
    <row r="9">
      <c r="G9" s="9" t="s">
        <v>54</v>
      </c>
    </row>
    <row r="14">
      <c r="A14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38"/>
    <col customWidth="1" min="3" max="4" width="19.5"/>
    <col customWidth="1" min="5" max="5" width="17.25"/>
    <col customWidth="1" min="6" max="6" width="20.0"/>
    <col customWidth="1" min="7" max="7" width="17.25"/>
    <col customWidth="1" min="8" max="8" width="26.5"/>
  </cols>
  <sheetData>
    <row r="1" ht="22.5" customHeight="1">
      <c r="A1" s="11" t="s">
        <v>55</v>
      </c>
      <c r="B1" s="12" t="s">
        <v>56</v>
      </c>
      <c r="C1" s="13"/>
      <c r="D1" s="13"/>
      <c r="E1" s="13"/>
      <c r="F1" s="13"/>
      <c r="G1" s="13"/>
    </row>
    <row r="2" ht="22.5" customHeight="1">
      <c r="A2" s="14" t="s">
        <v>57</v>
      </c>
      <c r="B2" s="15">
        <f>TODAY()</f>
        <v>46090</v>
      </c>
      <c r="C2" s="13"/>
      <c r="D2" s="13"/>
      <c r="E2" s="13"/>
      <c r="F2" s="13"/>
      <c r="G2" s="13"/>
    </row>
    <row r="3" ht="22.5" customHeight="1">
      <c r="A3" s="14" t="s">
        <v>58</v>
      </c>
      <c r="B3" s="16"/>
      <c r="C3" s="13"/>
      <c r="D3" s="13"/>
      <c r="E3" s="13"/>
      <c r="F3" s="13"/>
      <c r="G3" s="13"/>
    </row>
    <row r="4" ht="22.5" customHeight="1">
      <c r="A4" s="14" t="s">
        <v>59</v>
      </c>
      <c r="B4" s="16"/>
      <c r="C4" s="13"/>
      <c r="D4" s="13"/>
      <c r="E4" s="13"/>
      <c r="F4" s="13"/>
      <c r="G4" s="13"/>
    </row>
    <row r="5" ht="22.5" customHeight="1">
      <c r="A5" s="14" t="s">
        <v>60</v>
      </c>
      <c r="B5" s="14">
        <v>5000.0</v>
      </c>
      <c r="C5" s="13"/>
      <c r="D5" s="13"/>
      <c r="E5" s="13"/>
      <c r="F5" s="13"/>
      <c r="G5" s="13"/>
    </row>
    <row r="6">
      <c r="A6" s="17"/>
      <c r="B6" s="13"/>
      <c r="C6" s="13"/>
      <c r="D6" s="13"/>
      <c r="E6" s="13"/>
      <c r="F6" s="13"/>
      <c r="G6" s="13"/>
    </row>
    <row r="7">
      <c r="A7" s="13"/>
      <c r="B7" s="13"/>
      <c r="C7" s="13"/>
      <c r="D7" s="13"/>
      <c r="E7" s="13"/>
      <c r="F7" s="13"/>
      <c r="G7" s="13"/>
    </row>
    <row r="8" ht="22.5" customHeight="1">
      <c r="A8" s="11" t="s">
        <v>61</v>
      </c>
      <c r="B8" s="11" t="s">
        <v>62</v>
      </c>
      <c r="C8" s="11" t="s">
        <v>63</v>
      </c>
      <c r="D8" s="11" t="s">
        <v>64</v>
      </c>
      <c r="E8" s="11" t="s">
        <v>65</v>
      </c>
      <c r="F8" s="11" t="s">
        <v>66</v>
      </c>
      <c r="G8" s="11" t="s">
        <v>67</v>
      </c>
    </row>
    <row r="9" ht="22.5" customHeight="1">
      <c r="A9" s="18" t="s">
        <v>24</v>
      </c>
      <c r="B9" s="19">
        <f>IFERROR(VLOOKUP(A9, BD_Config!B:C, 2, FALSE), 0)</f>
        <v>800</v>
      </c>
      <c r="C9" s="20">
        <v>16.0</v>
      </c>
      <c r="D9" s="21">
        <f>IF(C9&gt;0, ROUNDUP($B$5/C9, 0), 0)</f>
        <v>313</v>
      </c>
      <c r="E9" s="22">
        <v>0.05</v>
      </c>
      <c r="F9" s="21">
        <f>ROUNDUP(D9 * (1 + E9), 0)</f>
        <v>329</v>
      </c>
      <c r="G9" s="19">
        <f>F9 * B9</f>
        <v>263200</v>
      </c>
    </row>
    <row r="10">
      <c r="A10" s="13"/>
      <c r="B10" s="13"/>
      <c r="C10" s="13"/>
      <c r="D10" s="13"/>
      <c r="E10" s="13"/>
      <c r="F10" s="13"/>
      <c r="G10" s="13"/>
    </row>
    <row r="11" ht="22.5" customHeight="1">
      <c r="A11" s="23" t="s">
        <v>68</v>
      </c>
      <c r="B11" s="11" t="s">
        <v>69</v>
      </c>
      <c r="C11" s="23" t="s">
        <v>70</v>
      </c>
      <c r="D11" s="23" t="s">
        <v>71</v>
      </c>
      <c r="E11" s="24" t="s">
        <v>72</v>
      </c>
      <c r="F11" s="24" t="s">
        <v>73</v>
      </c>
      <c r="G11" s="13"/>
    </row>
    <row r="12" ht="22.5" customHeight="1">
      <c r="A12" s="25" t="s">
        <v>74</v>
      </c>
      <c r="B12" s="26" t="s">
        <v>75</v>
      </c>
      <c r="C12" s="25" t="s">
        <v>74</v>
      </c>
      <c r="D12" s="25" t="s">
        <v>75</v>
      </c>
      <c r="E12" s="27"/>
      <c r="F12" s="27"/>
      <c r="G12" s="13"/>
    </row>
    <row r="13" ht="22.5" customHeight="1">
      <c r="A13" s="25">
        <v>25.0</v>
      </c>
      <c r="B13" s="26">
        <v>15.0</v>
      </c>
      <c r="C13" s="25">
        <v>70.0</v>
      </c>
      <c r="D13" s="25">
        <v>100.0</v>
      </c>
      <c r="E13" s="28"/>
      <c r="F13" s="29">
        <f>IF(E13&lt;&gt;"", E13, IF(OR(A13=0, B13=0), 0, MAX(INT(C13/A13)*INT(D13/B13), INT(C13/B13)*INT(D13/A13))))</f>
        <v>16</v>
      </c>
      <c r="G13" s="13"/>
    </row>
    <row r="14" ht="22.5" customHeight="1">
      <c r="A14" s="30"/>
      <c r="B14" s="27"/>
      <c r="C14" s="30"/>
      <c r="D14" s="30"/>
      <c r="E14" s="30"/>
      <c r="F14" s="30"/>
      <c r="G14" s="13"/>
    </row>
    <row r="15" ht="22.5" customHeight="1">
      <c r="A15" s="29" t="s">
        <v>76</v>
      </c>
      <c r="B15" s="26"/>
      <c r="C15" s="29" t="s">
        <v>77</v>
      </c>
      <c r="D15" s="25" t="s">
        <v>78</v>
      </c>
      <c r="E15" s="29" t="s">
        <v>79</v>
      </c>
      <c r="F15" s="29">
        <f>IF(F13&gt;0, ROUNDUP(($B$5/F13)*1.1, 0), 0)</f>
        <v>344</v>
      </c>
      <c r="G15" s="13"/>
    </row>
    <row r="16">
      <c r="A16" s="31"/>
      <c r="B16" s="13"/>
      <c r="C16" s="13"/>
      <c r="D16" s="13"/>
      <c r="E16" s="13"/>
      <c r="F16" s="13"/>
      <c r="G16" s="13"/>
    </row>
    <row r="17">
      <c r="A17" s="13"/>
      <c r="B17" s="13"/>
      <c r="C17" s="13"/>
      <c r="D17" s="13"/>
      <c r="E17" s="13"/>
      <c r="F17" s="13"/>
      <c r="G17" s="13"/>
    </row>
    <row r="18" ht="22.5" customHeight="1">
      <c r="A18" s="11" t="s">
        <v>80</v>
      </c>
      <c r="B18" s="11" t="s">
        <v>5</v>
      </c>
      <c r="C18" s="11" t="s">
        <v>81</v>
      </c>
      <c r="D18" s="11" t="s">
        <v>82</v>
      </c>
      <c r="E18" s="11" t="s">
        <v>83</v>
      </c>
      <c r="F18" s="11" t="s">
        <v>84</v>
      </c>
      <c r="G18" s="13"/>
    </row>
    <row r="19" ht="22.5" customHeight="1">
      <c r="A19" s="32" t="s">
        <v>40</v>
      </c>
      <c r="B19" s="33" t="str">
        <f>IFERROR(VLOOKUP(A19, BD_Config!E:H, 2, FALSE), "")</f>
        <v>Gran Formato</v>
      </c>
      <c r="C19" s="34">
        <f>IFERROR(VLOOKUP(A19, BD_Config!E:H, 3, FALSE), 0)</f>
        <v>0</v>
      </c>
      <c r="D19" s="21">
        <f>IFERROR(VLOOKUP(A19, BD_Config!E:H, 4, FALSE), 0)</f>
        <v>25000</v>
      </c>
      <c r="E19" s="20">
        <v>5.0</v>
      </c>
      <c r="F19" s="21">
        <f>IF(B19="Offset", (C19*E19) + ((F9/1000)*D19),
   IF(B19="Digital", F9*D19,
      IF(B19="Gran Formato", F9*D19,
      0)
   )
)</f>
        <v>8225000</v>
      </c>
      <c r="G19" s="13"/>
      <c r="H19" s="35" t="s">
        <v>85</v>
      </c>
    </row>
    <row r="20">
      <c r="A20" s="13"/>
      <c r="B20" s="13"/>
      <c r="C20" s="13"/>
      <c r="D20" s="13"/>
      <c r="E20" s="13"/>
      <c r="F20" s="13"/>
      <c r="G20" s="13"/>
    </row>
    <row r="21">
      <c r="A21" s="13"/>
      <c r="B21" s="13"/>
      <c r="C21" s="13"/>
      <c r="D21" s="13"/>
      <c r="E21" s="13"/>
      <c r="F21" s="13"/>
      <c r="G21" s="13"/>
    </row>
    <row r="22" ht="22.5" customHeight="1">
      <c r="A22" s="11" t="s">
        <v>86</v>
      </c>
      <c r="B22" s="11" t="s">
        <v>87</v>
      </c>
      <c r="C22" s="11" t="s">
        <v>88</v>
      </c>
      <c r="D22" s="11" t="s">
        <v>89</v>
      </c>
      <c r="E22" s="13"/>
      <c r="F22" s="13"/>
      <c r="G22" s="13"/>
    </row>
    <row r="23" ht="22.5" customHeight="1">
      <c r="A23" s="36" t="s">
        <v>28</v>
      </c>
      <c r="B23" s="27"/>
      <c r="C23" s="37">
        <f t="shared" ref="C23:C31" si="1">IF(A23="", "", IF(ISNUMBER(SEARCH("Plastificado", A23)), $F$9, $B$5))</f>
        <v>329</v>
      </c>
      <c r="D23" s="38">
        <f>IFERROR(
  LET(
    tipo, VLOOKUP(A23, BD_Config!L:O, 2, 0),
    fijo, VLOOKUP(A23, BD_Config!L:O, 3, 0),
    var,  VLOOKUP(A23, BD_Config!L:O, 4, 0),
    cant, C23,
    IF(tipo="Millar", fijo + ((cant/1000)*var),
      IF(tipo="Global", fijo,
        (cant * var) + fijo
      )
    )
  ), 
0)</f>
        <v>148050</v>
      </c>
      <c r="E23" s="13"/>
      <c r="F23" s="13"/>
      <c r="G23" s="13"/>
    </row>
    <row r="24" ht="22.5" customHeight="1">
      <c r="A24" s="36" t="s">
        <v>21</v>
      </c>
      <c r="B24" s="27"/>
      <c r="C24" s="37">
        <f t="shared" si="1"/>
        <v>5000</v>
      </c>
      <c r="D24" s="38">
        <f>IFERROR(
  LET(
    tipo, VLOOKUP(A24, BD_Config!L:O, 2, 0),
    fijo, VLOOKUP(A24, BD_Config!L:O, 3, 0),
    var,  VLOOKUP(A24, BD_Config!L:O, 4, 0),
    cant, C24,
    IF(tipo="Millar", fijo + ((cant/1000)*var),
      IF(tipo="Global", fijo,
        (cant * var) + fijo
      )
    )
  ), 
0)</f>
        <v>175000</v>
      </c>
      <c r="E24" s="13"/>
      <c r="F24" s="13"/>
      <c r="G24" s="39"/>
    </row>
    <row r="25" ht="22.5" customHeight="1">
      <c r="A25" s="36" t="s">
        <v>50</v>
      </c>
      <c r="B25" s="27"/>
      <c r="C25" s="37">
        <f t="shared" si="1"/>
        <v>5000</v>
      </c>
      <c r="D25" s="38">
        <f>IFERROR(
  LET(
    tipo, VLOOKUP(A25, BD_Config!L:O, 2, 0),
    fijo, VLOOKUP(A25, BD_Config!L:O, 3, 0),
    var,  VLOOKUP(A25, BD_Config!L:O, 4, 0),
    cant, C25,
    IF(tipo="Millar", fijo + ((cant/1000)*var),
      IF(tipo="Global", fijo,
        (cant * var) + fijo
      )
    )
  ), 
0)</f>
        <v>400000</v>
      </c>
      <c r="E25" s="13"/>
      <c r="F25" s="13"/>
      <c r="G25" s="13"/>
    </row>
    <row r="26" ht="22.5" customHeight="1">
      <c r="A26" s="40"/>
      <c r="B26" s="27"/>
      <c r="C26" s="37" t="str">
        <f t="shared" si="1"/>
        <v/>
      </c>
      <c r="D26" s="38">
        <f>IFERROR(
  LET(
    tipo, VLOOKUP(A26, BD_Config!L:O, 2, 0),
    fijo, VLOOKUP(A26, BD_Config!L:O, 3, 0),
    var,  VLOOKUP(A26, BD_Config!L:O, 4, 0),
    cant, C26,
    IF(tipo="Millar", fijo + ((cant/1000)*var),
      IF(tipo="Global", fijo,
        (cant * var) + fijo
      )
    )
  ), 
0)</f>
        <v>0</v>
      </c>
      <c r="E26" s="13"/>
      <c r="F26" s="13"/>
      <c r="G26" s="13"/>
    </row>
    <row r="27" ht="22.5" customHeight="1">
      <c r="A27" s="40"/>
      <c r="B27" s="27"/>
      <c r="C27" s="37" t="str">
        <f t="shared" si="1"/>
        <v/>
      </c>
      <c r="D27" s="38">
        <f>IFERROR(
  LET(
    tipo, VLOOKUP(A27, BD_Config!L:O, 2, 0),
    fijo, VLOOKUP(A27, BD_Config!L:O, 3, 0),
    var,  VLOOKUP(A27, BD_Config!L:O, 4, 0),
    cant, C27,
    IF(tipo="Millar", fijo + ((cant/1000)*var),
      IF(tipo="Global", fijo,
        (cant * var) + fijo
      )
    )
  ), 
0)</f>
        <v>0</v>
      </c>
      <c r="E27" s="13"/>
      <c r="F27" s="13"/>
      <c r="G27" s="13"/>
    </row>
    <row r="28" ht="22.5" customHeight="1">
      <c r="A28" s="40"/>
      <c r="B28" s="27"/>
      <c r="C28" s="37" t="str">
        <f t="shared" si="1"/>
        <v/>
      </c>
      <c r="D28" s="38">
        <f>IFERROR(
  LET(
    tipo, VLOOKUP(A28, BD_Config!L:O, 2, 0),
    fijo, VLOOKUP(A28, BD_Config!L:O, 3, 0),
    var,  VLOOKUP(A28, BD_Config!L:O, 4, 0),
    cant, C28,
    IF(tipo="Millar", fijo + ((cant/1000)*var),
      IF(tipo="Global", fijo,
        (cant * var) + fijo
      )
    )
  ), 
0)</f>
        <v>0</v>
      </c>
      <c r="E28" s="13"/>
      <c r="F28" s="13"/>
      <c r="G28" s="13"/>
    </row>
    <row r="29" ht="22.5" customHeight="1">
      <c r="A29" s="40"/>
      <c r="B29" s="27"/>
      <c r="C29" s="37" t="str">
        <f t="shared" si="1"/>
        <v/>
      </c>
      <c r="D29" s="38">
        <f>IFERROR(
  LET(
    tipo, VLOOKUP(A29, BD_Config!L:O, 2, 0),
    fijo, VLOOKUP(A29, BD_Config!L:O, 3, 0),
    var,  VLOOKUP(A29, BD_Config!L:O, 4, 0),
    cant, C29,
    IF(tipo="Millar", fijo + ((cant/1000)*var),
      IF(tipo="Global", fijo,
        (cant * var) + fijo
      )
    )
  ), 
0)</f>
        <v>0</v>
      </c>
      <c r="E29" s="13"/>
      <c r="F29" s="13"/>
      <c r="G29" s="13"/>
    </row>
    <row r="30" ht="22.5" customHeight="1">
      <c r="A30" s="40"/>
      <c r="B30" s="27"/>
      <c r="C30" s="37" t="str">
        <f t="shared" si="1"/>
        <v/>
      </c>
      <c r="D30" s="38">
        <f>IFERROR(
  LET(
    tipo, VLOOKUP(A30, BD_Config!L:O, 2, 0),
    fijo, VLOOKUP(A30, BD_Config!L:O, 3, 0),
    var,  VLOOKUP(A30, BD_Config!L:O, 4, 0),
    cant, C30,
    IF(tipo="Millar", fijo + ((cant/1000)*var),
      IF(tipo="Global", fijo,
        (cant * var) + fijo
      )
    )
  ), 
0)</f>
        <v>0</v>
      </c>
      <c r="E30" s="13"/>
      <c r="F30" s="13"/>
      <c r="G30" s="13"/>
    </row>
    <row r="31" ht="22.5" customHeight="1">
      <c r="A31" s="40"/>
      <c r="B31" s="27"/>
      <c r="C31" s="37" t="str">
        <f t="shared" si="1"/>
        <v/>
      </c>
      <c r="D31" s="38">
        <f>IFERROR(
  LET(
    tipo, VLOOKUP(A31, BD_Config!L:O, 2, 0),
    fijo, VLOOKUP(A31, BD_Config!L:O, 3, 0),
    var,  VLOOKUP(A31, BD_Config!L:O, 4, 0),
    cant, C31,
    IF(tipo="Millar", fijo + ((cant/1000)*var),
      IF(tipo="Global", fijo,
        (cant * var) + fijo
      )
    )
  ), 
0)</f>
        <v>0</v>
      </c>
      <c r="E31" s="13"/>
      <c r="F31" s="13"/>
      <c r="G31" s="13"/>
      <c r="J31" s="41"/>
    </row>
    <row r="32">
      <c r="A32" s="42"/>
      <c r="B32" s="42"/>
      <c r="C32" s="42"/>
      <c r="D32" s="13"/>
      <c r="E32" s="13"/>
      <c r="F32" s="13"/>
      <c r="G32" s="13"/>
    </row>
    <row r="33" ht="22.5" customHeight="1">
      <c r="A33" s="12" t="s">
        <v>90</v>
      </c>
      <c r="B33" s="12" t="s">
        <v>91</v>
      </c>
      <c r="C33" s="12" t="s">
        <v>92</v>
      </c>
      <c r="D33" s="13"/>
      <c r="E33" s="13"/>
      <c r="F33" s="13"/>
      <c r="G33" s="13"/>
    </row>
    <row r="34" ht="22.5" customHeight="1">
      <c r="A34" s="14" t="s">
        <v>93</v>
      </c>
      <c r="B34" s="43">
        <f>G9</f>
        <v>263200</v>
      </c>
      <c r="C34" s="44"/>
      <c r="D34" s="13"/>
      <c r="E34" s="13"/>
      <c r="F34" s="13"/>
      <c r="G34" s="13"/>
    </row>
    <row r="35" ht="22.5" customHeight="1">
      <c r="A35" s="14" t="s">
        <v>94</v>
      </c>
      <c r="B35" s="45">
        <f>F19</f>
        <v>8225000</v>
      </c>
      <c r="C35" s="46"/>
      <c r="D35" s="13"/>
      <c r="E35" s="13"/>
      <c r="F35" s="13"/>
      <c r="G35" s="13"/>
    </row>
    <row r="36" ht="22.5" customHeight="1">
      <c r="A36" s="14" t="s">
        <v>95</v>
      </c>
      <c r="B36" s="47">
        <f>SUM(D23:D31)</f>
        <v>723050</v>
      </c>
      <c r="C36" s="46"/>
      <c r="D36" s="13"/>
      <c r="E36" s="13"/>
      <c r="F36" s="13"/>
      <c r="G36" s="13"/>
    </row>
    <row r="37" ht="22.5" customHeight="1">
      <c r="A37" s="14" t="s">
        <v>96</v>
      </c>
      <c r="B37" s="48">
        <f>SUM(B34:B36)</f>
        <v>9211250</v>
      </c>
      <c r="C37" s="46"/>
      <c r="D37" s="13"/>
      <c r="E37" s="13"/>
      <c r="F37" s="13"/>
      <c r="G37" s="13"/>
    </row>
    <row r="38" ht="22.5" customHeight="1">
      <c r="A38" s="14" t="s">
        <v>97</v>
      </c>
      <c r="B38" s="49">
        <v>0.25</v>
      </c>
      <c r="C38" s="38">
        <f>IF(B38 &lt; 1, B37 / (1 - B38), "Error: Margen &gt; 100%")</f>
        <v>12281666.67</v>
      </c>
      <c r="D38" s="13"/>
      <c r="E38" s="13"/>
      <c r="F38" s="13"/>
      <c r="G38" s="13"/>
    </row>
    <row r="39" ht="22.5" customHeight="1">
      <c r="A39" s="14" t="s">
        <v>98</v>
      </c>
      <c r="B39" s="48">
        <f>B37 / (1 - B38)</f>
        <v>12281666.67</v>
      </c>
      <c r="C39" s="46"/>
      <c r="D39" s="13"/>
      <c r="E39" s="13"/>
      <c r="F39" s="13"/>
      <c r="G39" s="13"/>
    </row>
    <row r="40" ht="22.5" customHeight="1">
      <c r="A40" s="14" t="s">
        <v>99</v>
      </c>
      <c r="B40" s="48">
        <f>B39 / $B$5</f>
        <v>2456.333333</v>
      </c>
      <c r="C40" s="46"/>
      <c r="D40" s="13"/>
      <c r="E40" s="13"/>
      <c r="F40" s="13"/>
      <c r="G40" s="13"/>
    </row>
    <row r="41" ht="22.5" customHeight="1">
      <c r="A41" s="50" t="s">
        <v>100</v>
      </c>
      <c r="B41" s="51">
        <f>(B39*0.19)</f>
        <v>2333516.667</v>
      </c>
      <c r="C41" s="52"/>
      <c r="D41" s="13"/>
      <c r="E41" s="13"/>
      <c r="F41" s="13"/>
      <c r="G41" s="13"/>
    </row>
    <row r="42" ht="22.5" customHeight="1">
      <c r="A42" s="50" t="s">
        <v>101</v>
      </c>
      <c r="B42" s="51">
        <f>(B41+B39)</f>
        <v>14615183.33</v>
      </c>
      <c r="C42" s="53"/>
      <c r="D42" s="13"/>
      <c r="E42" s="13"/>
      <c r="F42" s="13"/>
      <c r="G42" s="13"/>
    </row>
    <row r="43">
      <c r="B43" s="13"/>
      <c r="C43" s="13"/>
      <c r="D43" s="13"/>
      <c r="E43" s="13"/>
      <c r="F43" s="13"/>
      <c r="G43" s="13"/>
    </row>
    <row r="44">
      <c r="A44" s="13"/>
      <c r="B44" s="13"/>
      <c r="C44" s="13"/>
      <c r="D44" s="13"/>
      <c r="E44" s="13"/>
      <c r="F44" s="13"/>
      <c r="G44" s="13"/>
    </row>
    <row r="45" ht="22.5" customHeight="1">
      <c r="A45" s="23" t="s">
        <v>102</v>
      </c>
      <c r="B45" s="13"/>
      <c r="C45" s="13"/>
      <c r="D45" s="13"/>
      <c r="E45" s="13"/>
      <c r="F45" s="13"/>
      <c r="G45" s="13"/>
    </row>
    <row r="46" ht="22.5" customHeight="1">
      <c r="A46" s="54" t="s">
        <v>103</v>
      </c>
      <c r="B46" s="13"/>
      <c r="C46" s="13"/>
      <c r="D46" s="13"/>
      <c r="E46" s="13"/>
      <c r="F46" s="13"/>
      <c r="G46" s="13"/>
    </row>
    <row r="47" ht="22.5" customHeight="1">
      <c r="A47" s="54" t="s">
        <v>104</v>
      </c>
      <c r="B47" s="13"/>
      <c r="C47" s="13"/>
      <c r="D47" s="13"/>
      <c r="E47" s="13"/>
      <c r="F47" s="13"/>
      <c r="G47" s="13"/>
    </row>
    <row r="48">
      <c r="A48" s="13"/>
      <c r="B48" s="13"/>
      <c r="C48" s="13"/>
      <c r="D48" s="13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</row>
    <row r="50">
      <c r="A50" s="13"/>
      <c r="B50" s="13"/>
      <c r="C50" s="13"/>
      <c r="D50" s="13"/>
      <c r="E50" s="13"/>
      <c r="F50" s="13"/>
      <c r="G50" s="13"/>
    </row>
    <row r="51">
      <c r="A51" s="13"/>
      <c r="B51" s="13"/>
      <c r="C51" s="13"/>
      <c r="D51" s="13"/>
      <c r="E51" s="13"/>
      <c r="F51" s="13"/>
      <c r="G51" s="13"/>
    </row>
  </sheetData>
  <dataValidations>
    <dataValidation type="list" allowBlank="1" showErrorMessage="1" sqref="A9 A19:B19 A23:A31">
      <formula1>#REF!</formula1>
    </dataValidation>
    <dataValidation type="custom" allowBlank="1" showDropDown="1" sqref="B9 E9 C23:D31 B34:C42">
      <formula1>AND(ISNUMBER(B9),(NOT(OR(NOT(ISERROR(DATEVALUE(B9))), AND(ISNUMBER(B9), LEFT(CELL("format", B9))="D")))))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